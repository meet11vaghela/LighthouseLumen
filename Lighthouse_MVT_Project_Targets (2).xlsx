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36bc531b5fa38998/Desktop/"/>
    </mc:Choice>
  </mc:AlternateContent>
  <xr:revisionPtr revIDLastSave="0" documentId="13_ncr:20001_{9E37B137-A207-4611-98A6-87E6940CCEA3}" xr6:coauthVersionLast="36" xr6:coauthVersionMax="36" xr10:uidLastSave="{00000000-0000-0000-0000-000000000000}"/>
  <bookViews>
    <workbookView xWindow="0" yWindow="0" windowWidth="20490" windowHeight="6825" activeTab="1" xr2:uid="{00000000-000D-0000-FFFF-FFFF00000000}"/>
  </bookViews>
  <sheets>
    <sheet name="Project Targets" sheetId="1" r:id="rId1"/>
    <sheet name="Sheet1" sheetId="4" r:id="rId2"/>
    <sheet name="Assumptions &amp; Economics" sheetId="2" r:id="rId3"/>
    <sheet name="SM Summary" sheetId="3" r:id="rId4"/>
  </sheets>
  <definedNames>
    <definedName name="_xlnm._FilterDatabase" localSheetId="0" hidden="1">'Project Targets'!$A$4:$O$12</definedName>
  </definedNames>
  <calcPr calcId="191029"/>
  <fileRecoveryPr repairLoad="1"/>
</workbook>
</file>

<file path=xl/calcChain.xml><?xml version="1.0" encoding="utf-8"?>
<calcChain xmlns="http://schemas.openxmlformats.org/spreadsheetml/2006/main">
  <c r="I15" i="4" l="1"/>
  <c r="H15" i="4"/>
  <c r="G15" i="4"/>
  <c r="F15" i="4"/>
  <c r="E15" i="4"/>
  <c r="D15" i="4"/>
  <c r="C15" i="4"/>
  <c r="B15" i="4"/>
  <c r="J15" i="4" s="1"/>
  <c r="I14" i="4"/>
  <c r="H14" i="4"/>
  <c r="G14" i="4"/>
  <c r="F14" i="4"/>
  <c r="E14" i="4"/>
  <c r="D14" i="4"/>
  <c r="C14" i="4"/>
  <c r="B14" i="4"/>
  <c r="J14" i="4" s="1"/>
  <c r="I13" i="4"/>
  <c r="H13" i="4"/>
  <c r="G13" i="4"/>
  <c r="F13" i="4"/>
  <c r="E13" i="4"/>
  <c r="D13" i="4"/>
  <c r="C13" i="4"/>
  <c r="B13" i="4"/>
  <c r="J13" i="4" s="1"/>
  <c r="I12" i="4"/>
  <c r="H12" i="4"/>
  <c r="G12" i="4"/>
  <c r="F12" i="4"/>
  <c r="E12" i="4"/>
  <c r="D12" i="4"/>
  <c r="C12" i="4"/>
  <c r="B12" i="4"/>
  <c r="J12" i="4" s="1"/>
  <c r="I11" i="4"/>
  <c r="H11" i="4"/>
  <c r="G11" i="4"/>
  <c r="F11" i="4"/>
  <c r="E11" i="4"/>
  <c r="D11" i="4"/>
  <c r="C11" i="4"/>
  <c r="B11" i="4"/>
  <c r="J11" i="4" s="1"/>
  <c r="J8" i="4"/>
  <c r="J9" i="4"/>
  <c r="J7" i="4"/>
  <c r="I6" i="4"/>
  <c r="H6" i="4"/>
  <c r="J6" i="4" s="1"/>
  <c r="G6" i="4"/>
  <c r="F6" i="4"/>
  <c r="E6" i="4"/>
  <c r="D6" i="4"/>
  <c r="C6" i="4"/>
  <c r="B6" i="4"/>
  <c r="I5" i="4"/>
  <c r="H5" i="4"/>
  <c r="G5" i="4"/>
  <c r="F5" i="4"/>
  <c r="E5" i="4"/>
  <c r="D5" i="4"/>
  <c r="C5" i="4"/>
  <c r="B5" i="4"/>
  <c r="J5" i="4" s="1"/>
  <c r="J4" i="4"/>
  <c r="J3" i="4"/>
  <c r="G8" i="3"/>
  <c r="F8" i="3"/>
  <c r="E8" i="3"/>
  <c r="D8" i="3"/>
  <c r="C8" i="3"/>
  <c r="B4" i="2"/>
  <c r="J13" i="1"/>
  <c r="B8" i="2" s="1"/>
  <c r="I13" i="1"/>
  <c r="H13" i="1"/>
  <c r="G13" i="1"/>
  <c r="B7" i="2" s="1"/>
  <c r="D13" i="1"/>
  <c r="C13" i="1"/>
  <c r="L12" i="1"/>
  <c r="K12" i="1"/>
  <c r="M12" i="1" s="1"/>
  <c r="F12" i="1"/>
  <c r="E12" i="1"/>
  <c r="L11" i="1"/>
  <c r="K11" i="1"/>
  <c r="M11" i="1" s="1"/>
  <c r="F11" i="1"/>
  <c r="E11" i="1"/>
  <c r="L10" i="1"/>
  <c r="K10" i="1"/>
  <c r="M10" i="1" s="1"/>
  <c r="E10" i="1"/>
  <c r="F10" i="1" s="1"/>
  <c r="L9" i="1"/>
  <c r="K9" i="1"/>
  <c r="M9" i="1" s="1"/>
  <c r="E9" i="1"/>
  <c r="F9" i="1" s="1"/>
  <c r="L8" i="1"/>
  <c r="K8" i="1"/>
  <c r="M8" i="1" s="1"/>
  <c r="E8" i="1"/>
  <c r="F8" i="1" s="1"/>
  <c r="L7" i="1"/>
  <c r="K7" i="1"/>
  <c r="M7" i="1" s="1"/>
  <c r="E7" i="1"/>
  <c r="F7" i="1" s="1"/>
  <c r="L6" i="1"/>
  <c r="M6" i="1" s="1"/>
  <c r="K6" i="1"/>
  <c r="E6" i="1"/>
  <c r="F6" i="1" s="1"/>
  <c r="L5" i="1"/>
  <c r="L13" i="1" s="1"/>
  <c r="B10" i="2" s="1"/>
  <c r="K5" i="1"/>
  <c r="K13" i="1" s="1"/>
  <c r="B9" i="2" s="1"/>
  <c r="E5" i="1"/>
  <c r="E13" i="1" s="1"/>
  <c r="B5" i="2" s="1"/>
  <c r="N7" i="1" l="1"/>
  <c r="O7" i="1" s="1"/>
  <c r="N8" i="1"/>
  <c r="O8" i="1" s="1"/>
  <c r="N12" i="1"/>
  <c r="O12" i="1" s="1"/>
  <c r="N11" i="1"/>
  <c r="O11" i="1" s="1"/>
  <c r="N10" i="1"/>
  <c r="O10" i="1" s="1"/>
  <c r="N6" i="1"/>
  <c r="O6" i="1" s="1"/>
  <c r="N9" i="1"/>
  <c r="O9" i="1" s="1"/>
  <c r="M5" i="1"/>
  <c r="F5" i="1"/>
  <c r="F13" i="1" s="1"/>
  <c r="B6" i="2" s="1"/>
  <c r="M13" i="1" l="1"/>
  <c r="B11" i="2" s="1"/>
  <c r="N5" i="1"/>
  <c r="N13" i="1" s="1"/>
  <c r="B12" i="2" s="1"/>
  <c r="O5" i="1" l="1"/>
  <c r="O13" i="1" s="1"/>
  <c r="B13" i="2" s="1"/>
</calcChain>
</file>

<file path=xl/sharedStrings.xml><?xml version="1.0" encoding="utf-8"?>
<sst xmlns="http://schemas.openxmlformats.org/spreadsheetml/2006/main" count="131" uniqueCount="80">
  <si>
    <t>LIGHTHOUSE LUXURY | PROJECT-WISE SALES &amp; LEAD TARGETS</t>
  </si>
  <si>
    <t>Targets based on MVT.xlsx | Sales targets and ticket sizes retained; channel mix standardized to WhatsApp 10%, ConvoAI 30%, Digital 60%.</t>
  </si>
  <si>
    <t>SALES &amp; REVENUE TARGETS</t>
  </si>
  <si>
    <t>WALK-IN &amp; LEAD TARGETS</t>
  </si>
  <si>
    <t>LEAD ALLOCATION BY CHANNEL</t>
  </si>
  <si>
    <t>Project / Retail Location</t>
  </si>
  <si>
    <t>Sourcing Manager (SM)</t>
  </si>
  <si>
    <t>Sales Units Target</t>
  </si>
  <si>
    <t>Approx. Ticket Size (₹)</t>
  </si>
  <si>
    <t>Total Sales Value (₹)</t>
  </si>
  <si>
    <t>Revenue Target @ 2% (₹)</t>
  </si>
  <si>
    <t>Walk-ins Target</t>
  </si>
  <si>
    <t>Self-Generated / Reference Leads (20%)</t>
  </si>
  <si>
    <t>Allocated Walk-in Leads (80%)</t>
  </si>
  <si>
    <t>Qualified Leads Required</t>
  </si>
  <si>
    <t>WhatsApp Leads (10%)</t>
  </si>
  <si>
    <t>ConvoAI Leads (30%)</t>
  </si>
  <si>
    <t>Digital Leads (60%)</t>
  </si>
  <si>
    <t>Meta Leads (60% of Digital)</t>
  </si>
  <si>
    <t>Website Leads (40% of Digital)</t>
  </si>
  <si>
    <t>Khar Santa</t>
  </si>
  <si>
    <t>Varun J</t>
  </si>
  <si>
    <t>Bandra West</t>
  </si>
  <si>
    <t>Bandra Bay</t>
  </si>
  <si>
    <t>Dheeraj</t>
  </si>
  <si>
    <t>Worli</t>
  </si>
  <si>
    <t>Dhara</t>
  </si>
  <si>
    <t>Lower Parel</t>
  </si>
  <si>
    <t>SOBO</t>
  </si>
  <si>
    <t>Versova</t>
  </si>
  <si>
    <t>Mohit D</t>
  </si>
  <si>
    <t>Juhu</t>
  </si>
  <si>
    <t>TOTAL</t>
  </si>
  <si>
    <t>TARGET TRACKING RULES</t>
  </si>
  <si>
    <t>1. Sales Value = Sales Units Target × Approximate Ticket Size.</t>
  </si>
  <si>
    <t>2. Revenue Target is calculated at 2% of sales value, as specified in MVT.xlsx.</t>
  </si>
  <si>
    <t>3. Lead channel mix is standardized to WhatsApp 10%, ConvoAI 30%, and Digital 60% of qualified leads. Digital is split 60% Meta and 40% Website.</t>
  </si>
  <si>
    <t>4. Walk-in reference split and qualified-lead requirements are retained from MVT.xlsx. Rounded channel targets may vary by one lead due to rounding.</t>
  </si>
  <si>
    <t>5. Use this as the target baseline; enter actuals monthly in a separate performance tracker to measure achievement.</t>
  </si>
  <si>
    <t>TARGET ASSUMPTIONS &amp; UNIT ECONOMICS</t>
  </si>
  <si>
    <t>Metric</t>
  </si>
  <si>
    <t>Target / Assumption</t>
  </si>
  <si>
    <t>Basis</t>
  </si>
  <si>
    <t>Notes</t>
  </si>
  <si>
    <t>Sales units target</t>
  </si>
  <si>
    <t>MVT.xlsx</t>
  </si>
  <si>
    <t>Total target units across all listed markets</t>
  </si>
  <si>
    <t>Sales value target (₹)</t>
  </si>
  <si>
    <t>Calculated</t>
  </si>
  <si>
    <t>Sum of project-wise sales values</t>
  </si>
  <si>
    <t>Revenue target @ 2% (₹)</t>
  </si>
  <si>
    <t>Gross target revenue before taxes, sharing or adjustments</t>
  </si>
  <si>
    <t>Walk-ins target</t>
  </si>
  <si>
    <t>Sum of project-wise walk-in targets</t>
  </si>
  <si>
    <t>Qualified leads required</t>
  </si>
  <si>
    <t>Sum of project-wise qualified lead targets</t>
  </si>
  <si>
    <t>WhatsApp leads target</t>
  </si>
  <si>
    <t>10% mix</t>
  </si>
  <si>
    <t>Rounded at project level</t>
  </si>
  <si>
    <t>ConvoAI leads target</t>
  </si>
  <si>
    <t>30% mix</t>
  </si>
  <si>
    <t>Digital leads target</t>
  </si>
  <si>
    <t>60% mix</t>
  </si>
  <si>
    <t>Digital is residual after WhatsApp and ConvoAI to preserve lead total</t>
  </si>
  <si>
    <t>Meta leads target</t>
  </si>
  <si>
    <t>60% of Digital</t>
  </si>
  <si>
    <t>Website leads target</t>
  </si>
  <si>
    <t>40% of Digital</t>
  </si>
  <si>
    <t>Website is residual after Meta to preserve digital total</t>
  </si>
  <si>
    <t>Average ticket size (₹)</t>
  </si>
  <si>
    <t>See project-wise ticket sizes</t>
  </si>
  <si>
    <t>Approximate project ticket sizes vary from ₹15 crore to ₹25 crore</t>
  </si>
  <si>
    <t>LIGHTHOUSE LUXURY | SOURCING MANAGER TARGET SUMMARY</t>
  </si>
  <si>
    <t>Sourcing Manager</t>
  </si>
  <si>
    <t>Projects / Markets</t>
  </si>
  <si>
    <t>Sales Value Target (₹)</t>
  </si>
  <si>
    <t>Qualified Leads Target</t>
  </si>
  <si>
    <t>Khar Santa, Bandra West</t>
  </si>
  <si>
    <t>Worli, Lower Parel, SOBO</t>
  </si>
  <si>
    <t>Versova, Juhu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</si>
</sst>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₹#,##0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1"/>
      <color rgb="FF245B3D"/>
      <name val="Calibri"/>
    </font>
    <font>
      <b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45B3D"/>
      </patternFill>
    </fill>
    <fill>
      <patternFill patternType="solid">
        <fgColor rgb="FF34764F"/>
      </patternFill>
    </fill>
    <fill>
      <patternFill patternType="solid">
        <fgColor rgb="FFEAF2EC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5DED7"/>
      </bottom>
      <diagonal/>
    </border>
  </borders>
  <cellStyleXfs count="2">
    <xf numFmtId="0" fontId="0" fillId="0" borderId="0"/>
    <xf numFmtId="43" fontId="1" fillId="0" borderId="0"/>
  </cellStyleXfs>
  <cellXfs count="43">
    <xf numFmtId="0" fontId="0" fillId="0" borderId="0" xfId="0"/>
    <xf numFmtId="0" fontId="0" fillId="0" borderId="0" xfId="0"/>
    <xf numFmtId="166" fontId="0" fillId="0" borderId="0" xfId="1" applyNumberFormat="1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3" fontId="0" fillId="4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0" xfId="0" applyFont="1" applyFill="1"/>
    <xf numFmtId="164" fontId="4" fillId="2" borderId="1" xfId="0" applyNumberFormat="1" applyFont="1" applyFill="1" applyBorder="1"/>
    <xf numFmtId="0" fontId="5" fillId="0" borderId="1" xfId="0" applyFont="1" applyBorder="1"/>
    <xf numFmtId="0" fontId="0" fillId="0" borderId="0" xfId="0"/>
    <xf numFmtId="166" fontId="0" fillId="0" borderId="0" xfId="1" applyNumberFormat="1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0"/>
  <sheetViews>
    <sheetView showGridLines="0" workbookViewId="0">
      <pane xSplit="2" ySplit="4" topLeftCell="I5" activePane="bottomRight" state="frozen"/>
      <selection pane="topRight"/>
      <selection pane="bottomLeft"/>
      <selection pane="bottomRight" activeCell="O5" sqref="O5:O13"/>
    </sheetView>
  </sheetViews>
  <sheetFormatPr defaultRowHeight="15" x14ac:dyDescent="0.25"/>
  <cols>
    <col min="1" max="1" width="22" style="1" customWidth="1"/>
    <col min="2" max="2" width="19" style="1" customWidth="1"/>
    <col min="3" max="3" width="15" style="1" customWidth="1"/>
    <col min="4" max="4" width="20" style="2" customWidth="1"/>
    <col min="5" max="5" width="21" style="1" customWidth="1"/>
    <col min="6" max="6" width="23" style="1" customWidth="1"/>
    <col min="7" max="7" width="14" style="1" customWidth="1"/>
    <col min="8" max="8" width="23" style="1" bestFit="1" customWidth="1"/>
    <col min="9" max="9" width="22" style="1" customWidth="1"/>
    <col min="10" max="10" width="20" style="1" customWidth="1"/>
    <col min="11" max="13" width="17" style="1" customWidth="1"/>
    <col min="14" max="14" width="19" style="1" customWidth="1"/>
    <col min="15" max="15" width="21" style="1" customWidth="1"/>
  </cols>
  <sheetData>
    <row r="1" spans="1:15" ht="30" customHeight="1" x14ac:dyDescent="0.25">
      <c r="A1" s="36" t="s">
        <v>0</v>
      </c>
      <c r="B1" s="31"/>
      <c r="C1" s="31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32.1" customHeight="1" x14ac:dyDescent="0.25">
      <c r="A2" s="35" t="s">
        <v>1</v>
      </c>
      <c r="B2" s="31"/>
      <c r="C2" s="31"/>
      <c r="D2" s="32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</row>
    <row r="3" spans="1:15" ht="24" customHeight="1" x14ac:dyDescent="0.25">
      <c r="A3" s="33" t="s">
        <v>2</v>
      </c>
      <c r="B3" s="31"/>
      <c r="C3" s="31"/>
      <c r="D3" s="32"/>
      <c r="E3" s="31"/>
      <c r="F3" s="31"/>
      <c r="G3" s="33" t="s">
        <v>3</v>
      </c>
      <c r="H3" s="31"/>
      <c r="I3" s="31"/>
      <c r="J3" s="31"/>
      <c r="K3" s="33" t="s">
        <v>4</v>
      </c>
      <c r="L3" s="31"/>
      <c r="M3" s="31"/>
      <c r="N3" s="31"/>
      <c r="O3" s="31"/>
    </row>
    <row r="4" spans="1:15" ht="54.95" customHeight="1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</row>
    <row r="5" spans="1:15" ht="24.95" customHeight="1" x14ac:dyDescent="0.25">
      <c r="A5" s="4" t="s">
        <v>20</v>
      </c>
      <c r="B5" s="4" t="s">
        <v>21</v>
      </c>
      <c r="C5" s="5">
        <v>6</v>
      </c>
      <c r="D5" s="6">
        <v>150000000</v>
      </c>
      <c r="E5" s="6">
        <f t="shared" ref="E5:E12" si="0">C5*D5</f>
        <v>900000000</v>
      </c>
      <c r="F5" s="6">
        <f t="shared" ref="F5:F12" si="1">E5*2%</f>
        <v>18000000</v>
      </c>
      <c r="G5" s="5">
        <v>40</v>
      </c>
      <c r="H5" s="5">
        <v>8</v>
      </c>
      <c r="I5" s="5">
        <v>32</v>
      </c>
      <c r="J5" s="5">
        <v>160</v>
      </c>
      <c r="K5" s="5">
        <f t="shared" ref="K5:K12" si="2">ROUND(J5*10%,0)</f>
        <v>16</v>
      </c>
      <c r="L5" s="5">
        <f t="shared" ref="L5:L12" si="3">ROUND(J5*30%,0)</f>
        <v>48</v>
      </c>
      <c r="M5" s="5">
        <f t="shared" ref="M5:M12" si="4">J5-K5-L5</f>
        <v>96</v>
      </c>
      <c r="N5" s="5">
        <f t="shared" ref="N5:N12" si="5">ROUND(M5*60%,0)</f>
        <v>58</v>
      </c>
      <c r="O5" s="5">
        <f t="shared" ref="O5:O12" si="6">M5-N5</f>
        <v>38</v>
      </c>
    </row>
    <row r="6" spans="1:15" ht="24.95" customHeight="1" x14ac:dyDescent="0.25">
      <c r="A6" s="7" t="s">
        <v>22</v>
      </c>
      <c r="B6" s="7" t="s">
        <v>21</v>
      </c>
      <c r="C6" s="8">
        <v>6</v>
      </c>
      <c r="D6" s="9">
        <v>150000000</v>
      </c>
      <c r="E6" s="9">
        <f t="shared" si="0"/>
        <v>900000000</v>
      </c>
      <c r="F6" s="9">
        <f t="shared" si="1"/>
        <v>18000000</v>
      </c>
      <c r="G6" s="8">
        <v>40</v>
      </c>
      <c r="H6" s="8">
        <v>8</v>
      </c>
      <c r="I6" s="8">
        <v>32</v>
      </c>
      <c r="J6" s="8">
        <v>160</v>
      </c>
      <c r="K6" s="8">
        <f t="shared" si="2"/>
        <v>16</v>
      </c>
      <c r="L6" s="8">
        <f t="shared" si="3"/>
        <v>48</v>
      </c>
      <c r="M6" s="8">
        <f t="shared" si="4"/>
        <v>96</v>
      </c>
      <c r="N6" s="8">
        <f t="shared" si="5"/>
        <v>58</v>
      </c>
      <c r="O6" s="8">
        <f t="shared" si="6"/>
        <v>38</v>
      </c>
    </row>
    <row r="7" spans="1:15" ht="24.95" customHeight="1" x14ac:dyDescent="0.25">
      <c r="A7" s="4" t="s">
        <v>23</v>
      </c>
      <c r="B7" s="4" t="s">
        <v>24</v>
      </c>
      <c r="C7" s="5">
        <v>8</v>
      </c>
      <c r="D7" s="6">
        <v>250000000</v>
      </c>
      <c r="E7" s="6">
        <f t="shared" si="0"/>
        <v>2000000000</v>
      </c>
      <c r="F7" s="6">
        <f t="shared" si="1"/>
        <v>40000000</v>
      </c>
      <c r="G7" s="5">
        <v>53</v>
      </c>
      <c r="H7" s="5">
        <v>11</v>
      </c>
      <c r="I7" s="5">
        <v>43</v>
      </c>
      <c r="J7" s="5">
        <v>213</v>
      </c>
      <c r="K7" s="5">
        <f t="shared" si="2"/>
        <v>21</v>
      </c>
      <c r="L7" s="5">
        <f t="shared" si="3"/>
        <v>64</v>
      </c>
      <c r="M7" s="5">
        <f t="shared" si="4"/>
        <v>128</v>
      </c>
      <c r="N7" s="5">
        <f t="shared" si="5"/>
        <v>77</v>
      </c>
      <c r="O7" s="5">
        <f t="shared" si="6"/>
        <v>51</v>
      </c>
    </row>
    <row r="8" spans="1:15" ht="24.95" customHeight="1" x14ac:dyDescent="0.25">
      <c r="A8" s="7" t="s">
        <v>25</v>
      </c>
      <c r="B8" s="7" t="s">
        <v>26</v>
      </c>
      <c r="C8" s="8">
        <v>4</v>
      </c>
      <c r="D8" s="9">
        <v>250000000</v>
      </c>
      <c r="E8" s="9">
        <f t="shared" si="0"/>
        <v>1000000000</v>
      </c>
      <c r="F8" s="9">
        <f t="shared" si="1"/>
        <v>20000000</v>
      </c>
      <c r="G8" s="8">
        <v>27</v>
      </c>
      <c r="H8" s="8">
        <v>5</v>
      </c>
      <c r="I8" s="8">
        <v>21</v>
      </c>
      <c r="J8" s="8">
        <v>107</v>
      </c>
      <c r="K8" s="8">
        <f t="shared" si="2"/>
        <v>11</v>
      </c>
      <c r="L8" s="8">
        <f t="shared" si="3"/>
        <v>32</v>
      </c>
      <c r="M8" s="8">
        <f t="shared" si="4"/>
        <v>64</v>
      </c>
      <c r="N8" s="8">
        <f t="shared" si="5"/>
        <v>38</v>
      </c>
      <c r="O8" s="8">
        <f t="shared" si="6"/>
        <v>26</v>
      </c>
    </row>
    <row r="9" spans="1:15" ht="24.95" customHeight="1" x14ac:dyDescent="0.25">
      <c r="A9" s="4" t="s">
        <v>27</v>
      </c>
      <c r="B9" s="4" t="s">
        <v>26</v>
      </c>
      <c r="C9" s="5">
        <v>4</v>
      </c>
      <c r="D9" s="6">
        <v>250000000</v>
      </c>
      <c r="E9" s="6">
        <f t="shared" si="0"/>
        <v>1000000000</v>
      </c>
      <c r="F9" s="6">
        <f t="shared" si="1"/>
        <v>20000000</v>
      </c>
      <c r="G9" s="5">
        <v>27</v>
      </c>
      <c r="H9" s="5">
        <v>5</v>
      </c>
      <c r="I9" s="5">
        <v>21</v>
      </c>
      <c r="J9" s="5">
        <v>107</v>
      </c>
      <c r="K9" s="5">
        <f t="shared" si="2"/>
        <v>11</v>
      </c>
      <c r="L9" s="5">
        <f t="shared" si="3"/>
        <v>32</v>
      </c>
      <c r="M9" s="5">
        <f t="shared" si="4"/>
        <v>64</v>
      </c>
      <c r="N9" s="5">
        <f t="shared" si="5"/>
        <v>38</v>
      </c>
      <c r="O9" s="5">
        <f t="shared" si="6"/>
        <v>26</v>
      </c>
    </row>
    <row r="10" spans="1:15" ht="24.95" customHeight="1" x14ac:dyDescent="0.25">
      <c r="A10" s="7" t="s">
        <v>28</v>
      </c>
      <c r="B10" s="7" t="s">
        <v>26</v>
      </c>
      <c r="C10" s="8">
        <v>4</v>
      </c>
      <c r="D10" s="9">
        <v>250000000</v>
      </c>
      <c r="E10" s="9">
        <f t="shared" si="0"/>
        <v>1000000000</v>
      </c>
      <c r="F10" s="9">
        <f t="shared" si="1"/>
        <v>20000000</v>
      </c>
      <c r="G10" s="8">
        <v>27</v>
      </c>
      <c r="H10" s="8">
        <v>5</v>
      </c>
      <c r="I10" s="8">
        <v>21</v>
      </c>
      <c r="J10" s="8">
        <v>107</v>
      </c>
      <c r="K10" s="8">
        <f t="shared" si="2"/>
        <v>11</v>
      </c>
      <c r="L10" s="8">
        <f t="shared" si="3"/>
        <v>32</v>
      </c>
      <c r="M10" s="8">
        <f t="shared" si="4"/>
        <v>64</v>
      </c>
      <c r="N10" s="8">
        <f t="shared" si="5"/>
        <v>38</v>
      </c>
      <c r="O10" s="8">
        <f t="shared" si="6"/>
        <v>26</v>
      </c>
    </row>
    <row r="11" spans="1:15" ht="24.95" customHeight="1" x14ac:dyDescent="0.25">
      <c r="A11" s="4" t="s">
        <v>29</v>
      </c>
      <c r="B11" s="4" t="s">
        <v>30</v>
      </c>
      <c r="C11" s="5">
        <v>5</v>
      </c>
      <c r="D11" s="6">
        <v>200000000</v>
      </c>
      <c r="E11" s="6">
        <f t="shared" si="0"/>
        <v>1000000000</v>
      </c>
      <c r="F11" s="6">
        <f t="shared" si="1"/>
        <v>20000000</v>
      </c>
      <c r="G11" s="5">
        <v>33</v>
      </c>
      <c r="H11" s="5">
        <v>7</v>
      </c>
      <c r="I11" s="5">
        <v>27</v>
      </c>
      <c r="J11" s="5">
        <v>133</v>
      </c>
      <c r="K11" s="5">
        <f t="shared" si="2"/>
        <v>13</v>
      </c>
      <c r="L11" s="5">
        <f t="shared" si="3"/>
        <v>40</v>
      </c>
      <c r="M11" s="5">
        <f t="shared" si="4"/>
        <v>80</v>
      </c>
      <c r="N11" s="5">
        <f t="shared" si="5"/>
        <v>48</v>
      </c>
      <c r="O11" s="5">
        <f t="shared" si="6"/>
        <v>32</v>
      </c>
    </row>
    <row r="12" spans="1:15" ht="24.95" customHeight="1" x14ac:dyDescent="0.25">
      <c r="A12" s="7" t="s">
        <v>31</v>
      </c>
      <c r="B12" s="7" t="s">
        <v>30</v>
      </c>
      <c r="C12" s="8">
        <v>4</v>
      </c>
      <c r="D12" s="9">
        <v>150000000</v>
      </c>
      <c r="E12" s="9">
        <f t="shared" si="0"/>
        <v>600000000</v>
      </c>
      <c r="F12" s="9">
        <f t="shared" si="1"/>
        <v>12000000</v>
      </c>
      <c r="G12" s="8">
        <v>27</v>
      </c>
      <c r="H12" s="8">
        <v>5</v>
      </c>
      <c r="I12" s="8">
        <v>21</v>
      </c>
      <c r="J12" s="8">
        <v>107</v>
      </c>
      <c r="K12" s="8">
        <f t="shared" si="2"/>
        <v>11</v>
      </c>
      <c r="L12" s="8">
        <f t="shared" si="3"/>
        <v>32</v>
      </c>
      <c r="M12" s="8">
        <f t="shared" si="4"/>
        <v>64</v>
      </c>
      <c r="N12" s="8">
        <f t="shared" si="5"/>
        <v>38</v>
      </c>
      <c r="O12" s="8">
        <f t="shared" si="6"/>
        <v>26</v>
      </c>
    </row>
    <row r="13" spans="1:15" ht="24.95" customHeight="1" x14ac:dyDescent="0.25">
      <c r="A13" s="10" t="s">
        <v>32</v>
      </c>
      <c r="B13" s="11"/>
      <c r="C13" s="12">
        <f t="shared" ref="C13:O13" si="7">SUM(C5:C12)</f>
        <v>41</v>
      </c>
      <c r="D13" s="13">
        <f t="shared" si="7"/>
        <v>1650000000</v>
      </c>
      <c r="E13" s="13">
        <f t="shared" si="7"/>
        <v>8400000000</v>
      </c>
      <c r="F13" s="13">
        <f t="shared" si="7"/>
        <v>168000000</v>
      </c>
      <c r="G13" s="12">
        <f t="shared" si="7"/>
        <v>274</v>
      </c>
      <c r="H13" s="12">
        <f t="shared" si="7"/>
        <v>54</v>
      </c>
      <c r="I13" s="12">
        <f t="shared" si="7"/>
        <v>218</v>
      </c>
      <c r="J13" s="12">
        <f t="shared" si="7"/>
        <v>1094</v>
      </c>
      <c r="K13" s="12">
        <f t="shared" si="7"/>
        <v>110</v>
      </c>
      <c r="L13" s="12">
        <f t="shared" si="7"/>
        <v>328</v>
      </c>
      <c r="M13" s="12">
        <f t="shared" si="7"/>
        <v>656</v>
      </c>
      <c r="N13" s="12">
        <f t="shared" si="7"/>
        <v>393</v>
      </c>
      <c r="O13" s="12">
        <f t="shared" si="7"/>
        <v>263</v>
      </c>
    </row>
    <row r="15" spans="1:15" x14ac:dyDescent="0.25">
      <c r="A15" s="30" t="s">
        <v>33</v>
      </c>
      <c r="B15" s="31"/>
      <c r="C15" s="31"/>
      <c r="D15" s="32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1:15" ht="24" customHeight="1" x14ac:dyDescent="0.25">
      <c r="A16" s="34" t="s">
        <v>34</v>
      </c>
      <c r="B16" s="31"/>
      <c r="C16" s="31"/>
      <c r="D16" s="32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1:15" ht="24" customHeight="1" x14ac:dyDescent="0.25">
      <c r="A17" s="34" t="s">
        <v>35</v>
      </c>
      <c r="B17" s="31"/>
      <c r="C17" s="31"/>
      <c r="D17" s="3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1:15" ht="24" customHeight="1" x14ac:dyDescent="0.25">
      <c r="A18" s="34" t="s">
        <v>36</v>
      </c>
      <c r="B18" s="31"/>
      <c r="C18" s="31"/>
      <c r="D18" s="3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24" customHeight="1" x14ac:dyDescent="0.25">
      <c r="A19" s="34" t="s">
        <v>37</v>
      </c>
      <c r="B19" s="31"/>
      <c r="C19" s="31"/>
      <c r="D19" s="32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1:15" ht="24" customHeight="1" x14ac:dyDescent="0.25">
      <c r="A20" s="34" t="s">
        <v>38</v>
      </c>
      <c r="B20" s="31"/>
      <c r="C20" s="31"/>
      <c r="D20" s="3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</sheetData>
  <autoFilter ref="A4:O12" xr:uid="{00000000-0009-0000-0000-000000000000}"/>
  <mergeCells count="11">
    <mergeCell ref="A1:O1"/>
    <mergeCell ref="A3:F3"/>
    <mergeCell ref="A17:O17"/>
    <mergeCell ref="A18:O18"/>
    <mergeCell ref="A15:O15"/>
    <mergeCell ref="K3:O3"/>
    <mergeCell ref="A20:O20"/>
    <mergeCell ref="A2:O2"/>
    <mergeCell ref="A16:O16"/>
    <mergeCell ref="G3:J3"/>
    <mergeCell ref="A19:O19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2BE5-E891-4650-B426-CA93E215F6D9}">
  <dimension ref="A1:J15"/>
  <sheetViews>
    <sheetView tabSelected="1" workbookViewId="0">
      <selection activeCell="F4" sqref="F4"/>
    </sheetView>
  </sheetViews>
  <sheetFormatPr defaultRowHeight="15" x14ac:dyDescent="0.25"/>
  <cols>
    <col min="1" max="1" width="41.85546875" customWidth="1"/>
    <col min="2" max="2" width="15" customWidth="1"/>
    <col min="3" max="3" width="12.28515625" bestFit="1" customWidth="1"/>
    <col min="4" max="8" width="14" bestFit="1" customWidth="1"/>
    <col min="9" max="9" width="12.28515625" bestFit="1" customWidth="1"/>
    <col min="10" max="10" width="14" bestFit="1" customWidth="1"/>
  </cols>
  <sheetData>
    <row r="1" spans="1:10" x14ac:dyDescent="0.25">
      <c r="A1" s="3" t="s">
        <v>5</v>
      </c>
      <c r="B1" s="41" t="s">
        <v>20</v>
      </c>
      <c r="C1" s="42" t="s">
        <v>22</v>
      </c>
      <c r="D1" s="41" t="s">
        <v>23</v>
      </c>
      <c r="E1" s="42" t="s">
        <v>25</v>
      </c>
      <c r="F1" s="41" t="s">
        <v>27</v>
      </c>
      <c r="G1" s="42" t="s">
        <v>28</v>
      </c>
      <c r="H1" s="41" t="s">
        <v>29</v>
      </c>
      <c r="I1" s="42" t="s">
        <v>31</v>
      </c>
      <c r="J1" s="10" t="s">
        <v>32</v>
      </c>
    </row>
    <row r="2" spans="1:10" x14ac:dyDescent="0.25">
      <c r="A2" s="3" t="s">
        <v>6</v>
      </c>
      <c r="B2" s="41" t="s">
        <v>21</v>
      </c>
      <c r="C2" s="42" t="s">
        <v>21</v>
      </c>
      <c r="D2" s="41" t="s">
        <v>24</v>
      </c>
      <c r="E2" s="42" t="s">
        <v>26</v>
      </c>
      <c r="F2" s="41" t="s">
        <v>26</v>
      </c>
      <c r="G2" s="42" t="s">
        <v>26</v>
      </c>
      <c r="H2" s="41" t="s">
        <v>30</v>
      </c>
      <c r="I2" s="42" t="s">
        <v>30</v>
      </c>
      <c r="J2" s="11"/>
    </row>
    <row r="3" spans="1:10" x14ac:dyDescent="0.25">
      <c r="A3" s="3" t="s">
        <v>7</v>
      </c>
      <c r="B3" s="5">
        <v>6</v>
      </c>
      <c r="C3" s="8">
        <v>6</v>
      </c>
      <c r="D3" s="5">
        <v>8</v>
      </c>
      <c r="E3" s="8">
        <v>4</v>
      </c>
      <c r="F3" s="5">
        <v>4</v>
      </c>
      <c r="G3" s="8">
        <v>4</v>
      </c>
      <c r="H3" s="5">
        <v>5</v>
      </c>
      <c r="I3" s="8">
        <v>4</v>
      </c>
      <c r="J3" s="12">
        <f>SUM(B3:I3)</f>
        <v>41</v>
      </c>
    </row>
    <row r="4" spans="1:10" x14ac:dyDescent="0.25">
      <c r="A4" s="3" t="s">
        <v>8</v>
      </c>
      <c r="B4" s="6">
        <v>150000000</v>
      </c>
      <c r="C4" s="9">
        <v>150000000</v>
      </c>
      <c r="D4" s="6">
        <v>250000000</v>
      </c>
      <c r="E4" s="9">
        <v>250000000</v>
      </c>
      <c r="F4" s="6">
        <v>250000000</v>
      </c>
      <c r="G4" s="9">
        <v>250000000</v>
      </c>
      <c r="H4" s="6">
        <v>200000000</v>
      </c>
      <c r="I4" s="9">
        <v>150000000</v>
      </c>
      <c r="J4" s="13">
        <f>SUM(B4:I4)</f>
        <v>1650000000</v>
      </c>
    </row>
    <row r="5" spans="1:10" x14ac:dyDescent="0.25">
      <c r="A5" s="3" t="s">
        <v>9</v>
      </c>
      <c r="B5" s="6">
        <f>B3*B4</f>
        <v>900000000</v>
      </c>
      <c r="C5" s="9">
        <f>C3*C4</f>
        <v>900000000</v>
      </c>
      <c r="D5" s="6">
        <f>D3*D4</f>
        <v>2000000000</v>
      </c>
      <c r="E5" s="9">
        <f>E3*E4</f>
        <v>1000000000</v>
      </c>
      <c r="F5" s="6">
        <f>F3*F4</f>
        <v>1000000000</v>
      </c>
      <c r="G5" s="9">
        <f>G3*G4</f>
        <v>1000000000</v>
      </c>
      <c r="H5" s="6">
        <f>H3*H4</f>
        <v>1000000000</v>
      </c>
      <c r="I5" s="9">
        <f>I3*I4</f>
        <v>600000000</v>
      </c>
      <c r="J5" s="13">
        <f>SUM(B5:I5)</f>
        <v>8400000000</v>
      </c>
    </row>
    <row r="6" spans="1:10" x14ac:dyDescent="0.25">
      <c r="A6" s="3" t="s">
        <v>10</v>
      </c>
      <c r="B6" s="6">
        <f>B5*2%</f>
        <v>18000000</v>
      </c>
      <c r="C6" s="9">
        <f>C5*2%</f>
        <v>18000000</v>
      </c>
      <c r="D6" s="6">
        <f>D5*2%</f>
        <v>40000000</v>
      </c>
      <c r="E6" s="9">
        <f>E5*2%</f>
        <v>20000000</v>
      </c>
      <c r="F6" s="6">
        <f>F5*2%</f>
        <v>20000000</v>
      </c>
      <c r="G6" s="9">
        <f>G5*2%</f>
        <v>20000000</v>
      </c>
      <c r="H6" s="6">
        <f>H5*2%</f>
        <v>20000000</v>
      </c>
      <c r="I6" s="9">
        <f>I5*2%</f>
        <v>12000000</v>
      </c>
      <c r="J6" s="13">
        <f>SUM(B6:I6)</f>
        <v>168000000</v>
      </c>
    </row>
    <row r="7" spans="1:10" x14ac:dyDescent="0.25">
      <c r="A7" s="3" t="s">
        <v>11</v>
      </c>
      <c r="B7" s="5">
        <v>40</v>
      </c>
      <c r="C7" s="8">
        <v>40</v>
      </c>
      <c r="D7" s="5">
        <v>53</v>
      </c>
      <c r="E7" s="8">
        <v>27</v>
      </c>
      <c r="F7" s="5">
        <v>27</v>
      </c>
      <c r="G7" s="8">
        <v>27</v>
      </c>
      <c r="H7" s="5">
        <v>33</v>
      </c>
      <c r="I7" s="8">
        <v>27</v>
      </c>
      <c r="J7" s="12">
        <f>SUM(B7:I7)</f>
        <v>274</v>
      </c>
    </row>
    <row r="8" spans="1:10" x14ac:dyDescent="0.25">
      <c r="A8" s="3" t="s">
        <v>12</v>
      </c>
      <c r="B8" s="5">
        <v>8</v>
      </c>
      <c r="C8" s="8">
        <v>8</v>
      </c>
      <c r="D8" s="5">
        <v>11</v>
      </c>
      <c r="E8" s="8">
        <v>5</v>
      </c>
      <c r="F8" s="5">
        <v>5</v>
      </c>
      <c r="G8" s="8">
        <v>5</v>
      </c>
      <c r="H8" s="5">
        <v>7</v>
      </c>
      <c r="I8" s="8">
        <v>5</v>
      </c>
      <c r="J8" s="12">
        <f>SUM(B8:I8)</f>
        <v>54</v>
      </c>
    </row>
    <row r="9" spans="1:10" x14ac:dyDescent="0.25">
      <c r="A9" s="3" t="s">
        <v>13</v>
      </c>
      <c r="B9" s="5">
        <v>32</v>
      </c>
      <c r="C9" s="8">
        <v>32</v>
      </c>
      <c r="D9" s="5">
        <v>43</v>
      </c>
      <c r="E9" s="8">
        <v>21</v>
      </c>
      <c r="F9" s="5">
        <v>21</v>
      </c>
      <c r="G9" s="8">
        <v>21</v>
      </c>
      <c r="H9" s="5">
        <v>27</v>
      </c>
      <c r="I9" s="8">
        <v>21</v>
      </c>
      <c r="J9" s="12">
        <f>SUM(B9:I9)</f>
        <v>218</v>
      </c>
    </row>
    <row r="10" spans="1:10" x14ac:dyDescent="0.25">
      <c r="A10" s="3" t="s">
        <v>14</v>
      </c>
      <c r="B10" s="5">
        <v>160</v>
      </c>
      <c r="C10" s="8">
        <v>160</v>
      </c>
      <c r="D10" s="5">
        <v>213</v>
      </c>
      <c r="E10" s="8">
        <v>107</v>
      </c>
      <c r="F10" s="5">
        <v>107</v>
      </c>
      <c r="G10" s="8">
        <v>107</v>
      </c>
      <c r="H10" s="5">
        <v>133</v>
      </c>
      <c r="I10" s="8">
        <v>107</v>
      </c>
      <c r="J10" s="12">
        <v>1094</v>
      </c>
    </row>
    <row r="11" spans="1:10" x14ac:dyDescent="0.25">
      <c r="A11" s="38" t="s">
        <v>15</v>
      </c>
      <c r="B11" s="39">
        <f>ROUND(B10*10%,0)</f>
        <v>16</v>
      </c>
      <c r="C11" s="39">
        <f>ROUND(C10*10%,0)</f>
        <v>16</v>
      </c>
      <c r="D11" s="39">
        <f>ROUND(D10*10%,0)</f>
        <v>21</v>
      </c>
      <c r="E11" s="39">
        <f>ROUND(E10*10%,0)</f>
        <v>11</v>
      </c>
      <c r="F11" s="39">
        <f>ROUND(F10*10%,0)</f>
        <v>11</v>
      </c>
      <c r="G11" s="39">
        <f>ROUND(G10*10%,0)</f>
        <v>11</v>
      </c>
      <c r="H11" s="39">
        <f>ROUND(H10*10%,0)</f>
        <v>13</v>
      </c>
      <c r="I11" s="39">
        <f>ROUND(I10*10%,0)</f>
        <v>11</v>
      </c>
      <c r="J11" s="40">
        <f>SUM(B11:I11)</f>
        <v>110</v>
      </c>
    </row>
    <row r="12" spans="1:10" x14ac:dyDescent="0.25">
      <c r="A12" s="38" t="s">
        <v>16</v>
      </c>
      <c r="B12" s="39">
        <f>ROUND(B10*30%,0)</f>
        <v>48</v>
      </c>
      <c r="C12" s="39">
        <f>ROUND(C10*30%,0)</f>
        <v>48</v>
      </c>
      <c r="D12" s="39">
        <f>ROUND(D10*30%,0)</f>
        <v>64</v>
      </c>
      <c r="E12" s="39">
        <f>ROUND(E10*30%,0)</f>
        <v>32</v>
      </c>
      <c r="F12" s="39">
        <f>ROUND(F10*30%,0)</f>
        <v>32</v>
      </c>
      <c r="G12" s="39">
        <f>ROUND(G10*30%,0)</f>
        <v>32</v>
      </c>
      <c r="H12" s="39">
        <f>ROUND(H10*30%,0)</f>
        <v>40</v>
      </c>
      <c r="I12" s="39">
        <f>ROUND(I10*30%,0)</f>
        <v>32</v>
      </c>
      <c r="J12" s="40">
        <f>SUM(B12:I12)</f>
        <v>328</v>
      </c>
    </row>
    <row r="13" spans="1:10" x14ac:dyDescent="0.25">
      <c r="A13" s="38" t="s">
        <v>17</v>
      </c>
      <c r="B13" s="39">
        <f>B10-B11-B12</f>
        <v>96</v>
      </c>
      <c r="C13" s="39">
        <f>C10-C11-C12</f>
        <v>96</v>
      </c>
      <c r="D13" s="39">
        <f>D10-D11-D12</f>
        <v>128</v>
      </c>
      <c r="E13" s="39">
        <f>E10-E11-E12</f>
        <v>64</v>
      </c>
      <c r="F13" s="39">
        <f>F10-F11-F12</f>
        <v>64</v>
      </c>
      <c r="G13" s="39">
        <f>G10-G11-G12</f>
        <v>64</v>
      </c>
      <c r="H13" s="39">
        <f>H10-H11-H12</f>
        <v>80</v>
      </c>
      <c r="I13" s="39">
        <f>I10-I11-I12</f>
        <v>64</v>
      </c>
      <c r="J13" s="40">
        <f>SUM(B13:I13)</f>
        <v>656</v>
      </c>
    </row>
    <row r="14" spans="1:10" x14ac:dyDescent="0.25">
      <c r="A14" s="38" t="s">
        <v>18</v>
      </c>
      <c r="B14" s="39">
        <f>ROUND(B13*60%,0)</f>
        <v>58</v>
      </c>
      <c r="C14" s="39">
        <f>ROUND(C13*60%,0)</f>
        <v>58</v>
      </c>
      <c r="D14" s="39">
        <f>ROUND(D13*60%,0)</f>
        <v>77</v>
      </c>
      <c r="E14" s="39">
        <f>ROUND(E13*60%,0)</f>
        <v>38</v>
      </c>
      <c r="F14" s="39">
        <f>ROUND(F13*60%,0)</f>
        <v>38</v>
      </c>
      <c r="G14" s="39">
        <f>ROUND(G13*60%,0)</f>
        <v>38</v>
      </c>
      <c r="H14" s="39">
        <f>ROUND(H13*60%,0)</f>
        <v>48</v>
      </c>
      <c r="I14" s="39">
        <f>ROUND(I13*60%,0)</f>
        <v>38</v>
      </c>
      <c r="J14" s="40">
        <f>SUM(B14:I14)</f>
        <v>393</v>
      </c>
    </row>
    <row r="15" spans="1:10" x14ac:dyDescent="0.25">
      <c r="A15" s="38" t="s">
        <v>19</v>
      </c>
      <c r="B15" s="39">
        <f>B13-B14</f>
        <v>38</v>
      </c>
      <c r="C15" s="39">
        <f>C13-C14</f>
        <v>38</v>
      </c>
      <c r="D15" s="39">
        <f>D13-D14</f>
        <v>51</v>
      </c>
      <c r="E15" s="39">
        <f>E13-E14</f>
        <v>26</v>
      </c>
      <c r="F15" s="39">
        <f>F13-F14</f>
        <v>26</v>
      </c>
      <c r="G15" s="39">
        <f>G13-G14</f>
        <v>26</v>
      </c>
      <c r="H15" s="39">
        <f>H13-H14</f>
        <v>32</v>
      </c>
      <c r="I15" s="39">
        <f>I13-I14</f>
        <v>26</v>
      </c>
      <c r="J15" s="40">
        <f>SUM(B15:I15)</f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8"/>
  <sheetViews>
    <sheetView showGridLines="0" workbookViewId="0">
      <pane ySplit="3" topLeftCell="A4" activePane="bottomLeft" state="frozen"/>
      <selection pane="bottomLeft" sqref="A1:D1"/>
    </sheetView>
  </sheetViews>
  <sheetFormatPr defaultRowHeight="15" x14ac:dyDescent="0.25"/>
  <cols>
    <col min="1" max="1" width="32" style="1" customWidth="1"/>
    <col min="2" max="2" width="28" style="1" customWidth="1"/>
    <col min="3" max="3" width="20" style="1" customWidth="1"/>
    <col min="4" max="4" width="75" style="1" customWidth="1"/>
  </cols>
  <sheetData>
    <row r="1" spans="1:4" ht="27.95" customHeight="1" x14ac:dyDescent="0.3">
      <c r="A1" s="37" t="s">
        <v>39</v>
      </c>
      <c r="B1" s="31"/>
      <c r="C1" s="31"/>
      <c r="D1" s="31"/>
    </row>
    <row r="3" spans="1:4" x14ac:dyDescent="0.25">
      <c r="A3" s="14" t="s">
        <v>40</v>
      </c>
      <c r="B3" s="14" t="s">
        <v>41</v>
      </c>
      <c r="C3" s="14" t="s">
        <v>42</v>
      </c>
      <c r="D3" s="14" t="s">
        <v>43</v>
      </c>
    </row>
    <row r="4" spans="1:4" x14ac:dyDescent="0.25">
      <c r="A4" s="15" t="s">
        <v>44</v>
      </c>
      <c r="B4" s="16">
        <f>'Project Targets'!C13</f>
        <v>41</v>
      </c>
      <c r="C4" s="15" t="s">
        <v>45</v>
      </c>
      <c r="D4" s="15" t="s">
        <v>46</v>
      </c>
    </row>
    <row r="5" spans="1:4" x14ac:dyDescent="0.25">
      <c r="A5" s="17" t="s">
        <v>47</v>
      </c>
      <c r="B5" s="18">
        <f>'Project Targets'!E13</f>
        <v>8400000000</v>
      </c>
      <c r="C5" s="17" t="s">
        <v>48</v>
      </c>
      <c r="D5" s="17" t="s">
        <v>49</v>
      </c>
    </row>
    <row r="6" spans="1:4" x14ac:dyDescent="0.25">
      <c r="A6" s="15" t="s">
        <v>50</v>
      </c>
      <c r="B6" s="19">
        <f>'Project Targets'!F13</f>
        <v>168000000</v>
      </c>
      <c r="C6" s="15" t="s">
        <v>45</v>
      </c>
      <c r="D6" s="15" t="s">
        <v>51</v>
      </c>
    </row>
    <row r="7" spans="1:4" x14ac:dyDescent="0.25">
      <c r="A7" s="17" t="s">
        <v>52</v>
      </c>
      <c r="B7" s="20">
        <f>'Project Targets'!G13</f>
        <v>274</v>
      </c>
      <c r="C7" s="17" t="s">
        <v>45</v>
      </c>
      <c r="D7" s="17" t="s">
        <v>53</v>
      </c>
    </row>
    <row r="8" spans="1:4" x14ac:dyDescent="0.25">
      <c r="A8" s="15" t="s">
        <v>54</v>
      </c>
      <c r="B8" s="16">
        <f>'Project Targets'!J13</f>
        <v>1094</v>
      </c>
      <c r="C8" s="15" t="s">
        <v>45</v>
      </c>
      <c r="D8" s="15" t="s">
        <v>55</v>
      </c>
    </row>
    <row r="9" spans="1:4" x14ac:dyDescent="0.25">
      <c r="A9" s="17" t="s">
        <v>56</v>
      </c>
      <c r="B9" s="20">
        <f>'Project Targets'!K13</f>
        <v>110</v>
      </c>
      <c r="C9" s="17" t="s">
        <v>57</v>
      </c>
      <c r="D9" s="17" t="s">
        <v>58</v>
      </c>
    </row>
    <row r="10" spans="1:4" x14ac:dyDescent="0.25">
      <c r="A10" s="15" t="s">
        <v>59</v>
      </c>
      <c r="B10" s="16">
        <f>'Project Targets'!L13</f>
        <v>328</v>
      </c>
      <c r="C10" s="15" t="s">
        <v>60</v>
      </c>
      <c r="D10" s="15" t="s">
        <v>58</v>
      </c>
    </row>
    <row r="11" spans="1:4" x14ac:dyDescent="0.25">
      <c r="A11" s="17" t="s">
        <v>61</v>
      </c>
      <c r="B11" s="20">
        <f>'Project Targets'!M13</f>
        <v>656</v>
      </c>
      <c r="C11" s="17" t="s">
        <v>62</v>
      </c>
      <c r="D11" s="17" t="s">
        <v>63</v>
      </c>
    </row>
    <row r="12" spans="1:4" x14ac:dyDescent="0.25">
      <c r="A12" s="15" t="s">
        <v>64</v>
      </c>
      <c r="B12" s="16">
        <f>'Project Targets'!N13</f>
        <v>393</v>
      </c>
      <c r="C12" s="15" t="s">
        <v>65</v>
      </c>
      <c r="D12" s="15" t="s">
        <v>58</v>
      </c>
    </row>
    <row r="13" spans="1:4" x14ac:dyDescent="0.25">
      <c r="A13" s="17" t="s">
        <v>66</v>
      </c>
      <c r="B13" s="20">
        <f>'Project Targets'!O13</f>
        <v>263</v>
      </c>
      <c r="C13" s="17" t="s">
        <v>67</v>
      </c>
      <c r="D13" s="17" t="s">
        <v>68</v>
      </c>
    </row>
    <row r="14" spans="1:4" x14ac:dyDescent="0.25">
      <c r="A14" s="15" t="s">
        <v>69</v>
      </c>
      <c r="B14" s="16" t="s">
        <v>70</v>
      </c>
      <c r="C14" s="15" t="s">
        <v>45</v>
      </c>
      <c r="D14" s="15" t="s">
        <v>71</v>
      </c>
    </row>
    <row r="18" ht="30" customHeight="1" x14ac:dyDescent="0.25"/>
  </sheetData>
  <mergeCells count="1">
    <mergeCell ref="A1:D1"/>
  </mergeCells>
  <pageMargins left="0.25" right="0.2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20" style="1" customWidth="1"/>
    <col min="2" max="2" width="32" style="1" customWidth="1"/>
    <col min="3" max="3" width="18" style="1" customWidth="1"/>
    <col min="4" max="5" width="24" style="1" customWidth="1"/>
    <col min="6" max="6" width="17" style="1" customWidth="1"/>
    <col min="7" max="7" width="23" style="1" customWidth="1"/>
  </cols>
  <sheetData>
    <row r="1" spans="1:7" ht="18.75" x14ac:dyDescent="0.3">
      <c r="A1" s="37" t="s">
        <v>72</v>
      </c>
      <c r="B1" s="31"/>
      <c r="C1" s="31"/>
      <c r="D1" s="31"/>
      <c r="E1" s="31"/>
      <c r="F1" s="31"/>
      <c r="G1" s="31"/>
    </row>
    <row r="3" spans="1:7" ht="42" customHeight="1" x14ac:dyDescent="0.25">
      <c r="A3" s="3" t="s">
        <v>73</v>
      </c>
      <c r="B3" s="3" t="s">
        <v>74</v>
      </c>
      <c r="C3" s="3" t="s">
        <v>7</v>
      </c>
      <c r="D3" s="3" t="s">
        <v>75</v>
      </c>
      <c r="E3" s="3" t="s">
        <v>10</v>
      </c>
      <c r="F3" s="3" t="s">
        <v>11</v>
      </c>
      <c r="G3" s="3" t="s">
        <v>76</v>
      </c>
    </row>
    <row r="4" spans="1:7" x14ac:dyDescent="0.25">
      <c r="A4" s="21" t="s">
        <v>21</v>
      </c>
      <c r="B4" s="21" t="s">
        <v>77</v>
      </c>
      <c r="C4" s="22">
        <v>12</v>
      </c>
      <c r="D4" s="23">
        <v>1800000000</v>
      </c>
      <c r="E4" s="23">
        <v>36000000</v>
      </c>
      <c r="F4" s="22">
        <v>80</v>
      </c>
      <c r="G4" s="22">
        <v>320</v>
      </c>
    </row>
    <row r="5" spans="1:7" x14ac:dyDescent="0.25">
      <c r="A5" s="24" t="s">
        <v>24</v>
      </c>
      <c r="B5" s="24" t="s">
        <v>23</v>
      </c>
      <c r="C5" s="25">
        <v>8</v>
      </c>
      <c r="D5" s="26">
        <v>2000000000</v>
      </c>
      <c r="E5" s="26">
        <v>40000000</v>
      </c>
      <c r="F5" s="25">
        <v>53</v>
      </c>
      <c r="G5" s="25">
        <v>213</v>
      </c>
    </row>
    <row r="6" spans="1:7" x14ac:dyDescent="0.25">
      <c r="A6" s="21" t="s">
        <v>26</v>
      </c>
      <c r="B6" s="21" t="s">
        <v>78</v>
      </c>
      <c r="C6" s="22">
        <v>12</v>
      </c>
      <c r="D6" s="23">
        <v>3000000000</v>
      </c>
      <c r="E6" s="23">
        <v>60000000</v>
      </c>
      <c r="F6" s="22">
        <v>81</v>
      </c>
      <c r="G6" s="22">
        <v>321</v>
      </c>
    </row>
    <row r="7" spans="1:7" x14ac:dyDescent="0.25">
      <c r="A7" s="24" t="s">
        <v>30</v>
      </c>
      <c r="B7" s="24" t="s">
        <v>79</v>
      </c>
      <c r="C7" s="25">
        <v>9</v>
      </c>
      <c r="D7" s="26">
        <v>1450000000</v>
      </c>
      <c r="E7" s="26">
        <v>29000000</v>
      </c>
      <c r="F7" s="25">
        <v>60</v>
      </c>
      <c r="G7" s="25">
        <v>240</v>
      </c>
    </row>
    <row r="8" spans="1:7" x14ac:dyDescent="0.25">
      <c r="A8" s="27" t="s">
        <v>32</v>
      </c>
      <c r="B8" s="28"/>
      <c r="C8" s="27">
        <f>SUM(C4:C7)</f>
        <v>41</v>
      </c>
      <c r="D8" s="29">
        <f>SUM(D4:D7)</f>
        <v>8250000000</v>
      </c>
      <c r="E8" s="29">
        <f>SUM(E4:E7)</f>
        <v>165000000</v>
      </c>
      <c r="F8" s="27">
        <f>SUM(F4:F7)</f>
        <v>274</v>
      </c>
      <c r="G8" s="27">
        <f>SUM(G4:G7)</f>
        <v>1094</v>
      </c>
    </row>
  </sheetData>
  <mergeCells count="1">
    <mergeCell ref="A1:G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Targets</vt:lpstr>
      <vt:lpstr>Sheet1</vt:lpstr>
      <vt:lpstr>Assumptions &amp; Economics</vt:lpstr>
      <vt:lpstr>SM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2026-10-19T08:36:34Z</dcterms:created>
  <dcterms:modified xsi:type="dcterms:W3CDTF">2026-10-19T12:01:55Z</dcterms:modified>
</cp:coreProperties>
</file>